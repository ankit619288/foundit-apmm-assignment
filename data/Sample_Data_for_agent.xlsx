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0" documentId="8_{2E6F1049-2504-498E-B53E-D8D7B2D3C5C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dia - ITI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3" i="1" l="1"/>
  <c r="E73" i="1"/>
  <c r="L73" i="1" s="1"/>
  <c r="B73" i="1"/>
  <c r="K73" i="1" s="1"/>
  <c r="H72" i="1"/>
  <c r="E72" i="1"/>
  <c r="L72" i="1" s="1"/>
  <c r="B72" i="1"/>
  <c r="K72" i="1" s="1"/>
  <c r="H71" i="1"/>
  <c r="E71" i="1"/>
  <c r="L71" i="1" s="1"/>
  <c r="B71" i="1"/>
  <c r="K71" i="1" s="1"/>
  <c r="H70" i="1"/>
  <c r="E70" i="1"/>
  <c r="L70" i="1" s="1"/>
  <c r="B70" i="1"/>
  <c r="K70" i="1" s="1"/>
  <c r="H69" i="1"/>
  <c r="E69" i="1"/>
  <c r="L69" i="1" s="1"/>
  <c r="B69" i="1"/>
  <c r="K69" i="1" s="1"/>
  <c r="H66" i="1"/>
  <c r="E66" i="1"/>
  <c r="L66" i="1" s="1"/>
  <c r="B66" i="1"/>
  <c r="K66" i="1" s="1"/>
  <c r="H65" i="1"/>
  <c r="E65" i="1"/>
  <c r="L65" i="1" s="1"/>
  <c r="B65" i="1"/>
  <c r="K65" i="1" s="1"/>
  <c r="H64" i="1"/>
  <c r="E64" i="1"/>
  <c r="L64" i="1" s="1"/>
  <c r="B64" i="1"/>
  <c r="K64" i="1" s="1"/>
  <c r="H63" i="1"/>
  <c r="E63" i="1"/>
  <c r="L63" i="1" s="1"/>
  <c r="B63" i="1"/>
  <c r="K63" i="1" s="1"/>
  <c r="H62" i="1"/>
  <c r="E62" i="1"/>
  <c r="L62" i="1" s="1"/>
  <c r="B62" i="1"/>
  <c r="K62" i="1" s="1"/>
  <c r="H58" i="1"/>
  <c r="E58" i="1"/>
  <c r="L58" i="1" s="1"/>
  <c r="B58" i="1"/>
  <c r="K58" i="1" s="1"/>
  <c r="H57" i="1"/>
  <c r="E57" i="1"/>
  <c r="L57" i="1" s="1"/>
  <c r="B57" i="1"/>
  <c r="K57" i="1" s="1"/>
  <c r="H56" i="1"/>
  <c r="E56" i="1"/>
  <c r="L56" i="1" s="1"/>
  <c r="B56" i="1"/>
  <c r="K56" i="1" s="1"/>
  <c r="H55" i="1"/>
  <c r="E55" i="1"/>
  <c r="L55" i="1" s="1"/>
  <c r="B55" i="1"/>
  <c r="K55" i="1" s="1"/>
  <c r="H54" i="1"/>
  <c r="E54" i="1"/>
  <c r="L54" i="1" s="1"/>
  <c r="B54" i="1"/>
  <c r="K54" i="1" s="1"/>
  <c r="H53" i="1"/>
  <c r="E53" i="1"/>
  <c r="L53" i="1" s="1"/>
  <c r="B53" i="1"/>
  <c r="K53" i="1" s="1"/>
  <c r="H52" i="1"/>
  <c r="E52" i="1"/>
  <c r="L52" i="1" s="1"/>
  <c r="B52" i="1"/>
  <c r="K52" i="1" s="1"/>
  <c r="H51" i="1"/>
  <c r="E51" i="1"/>
  <c r="L51" i="1" s="1"/>
  <c r="B51" i="1"/>
  <c r="K51" i="1" s="1"/>
  <c r="H48" i="1"/>
  <c r="E48" i="1"/>
  <c r="L48" i="1" s="1"/>
  <c r="B48" i="1"/>
  <c r="K48" i="1" s="1"/>
  <c r="H47" i="1"/>
  <c r="E47" i="1"/>
  <c r="L47" i="1" s="1"/>
  <c r="B47" i="1"/>
  <c r="K47" i="1" s="1"/>
  <c r="H46" i="1"/>
  <c r="E46" i="1"/>
  <c r="L46" i="1" s="1"/>
  <c r="B46" i="1"/>
  <c r="K46" i="1" s="1"/>
  <c r="H45" i="1"/>
  <c r="E45" i="1"/>
  <c r="L45" i="1" s="1"/>
  <c r="B45" i="1"/>
  <c r="K45" i="1" s="1"/>
  <c r="H44" i="1"/>
  <c r="E44" i="1"/>
  <c r="L44" i="1" s="1"/>
  <c r="B44" i="1"/>
  <c r="K44" i="1" s="1"/>
  <c r="H43" i="1"/>
  <c r="E43" i="1"/>
  <c r="L43" i="1" s="1"/>
  <c r="B43" i="1"/>
  <c r="K43" i="1" s="1"/>
  <c r="H42" i="1"/>
  <c r="E42" i="1"/>
  <c r="L42" i="1" s="1"/>
  <c r="B42" i="1"/>
  <c r="K42" i="1" s="1"/>
  <c r="H41" i="1"/>
  <c r="E41" i="1"/>
  <c r="L41" i="1" s="1"/>
  <c r="B41" i="1"/>
  <c r="K41" i="1" s="1"/>
  <c r="H40" i="1"/>
  <c r="E40" i="1"/>
  <c r="L40" i="1" s="1"/>
  <c r="B40" i="1"/>
  <c r="K40" i="1" s="1"/>
  <c r="H39" i="1"/>
  <c r="E39" i="1"/>
  <c r="L39" i="1" s="1"/>
  <c r="B39" i="1"/>
  <c r="K39" i="1" s="1"/>
  <c r="H38" i="1"/>
  <c r="E38" i="1"/>
  <c r="L38" i="1" s="1"/>
  <c r="B38" i="1"/>
  <c r="K38" i="1" s="1"/>
  <c r="H35" i="1"/>
  <c r="E35" i="1"/>
  <c r="L35" i="1" s="1"/>
  <c r="B35" i="1"/>
  <c r="H34" i="1"/>
  <c r="E34" i="1"/>
  <c r="L34" i="1" s="1"/>
  <c r="B34" i="1"/>
  <c r="H33" i="1"/>
  <c r="E33" i="1"/>
  <c r="L33" i="1" s="1"/>
  <c r="B33" i="1"/>
  <c r="H32" i="1"/>
  <c r="E32" i="1"/>
  <c r="L32" i="1" s="1"/>
  <c r="B32" i="1"/>
  <c r="H31" i="1"/>
  <c r="E31" i="1"/>
  <c r="L31" i="1" s="1"/>
  <c r="B31" i="1"/>
  <c r="H30" i="1"/>
  <c r="E30" i="1"/>
  <c r="L30" i="1" s="1"/>
  <c r="B30" i="1"/>
  <c r="H29" i="1"/>
  <c r="E29" i="1"/>
  <c r="L29" i="1" s="1"/>
  <c r="B29" i="1"/>
  <c r="K29" i="1" s="1"/>
  <c r="H25" i="1"/>
  <c r="H24" i="1"/>
  <c r="E24" i="1"/>
  <c r="L24" i="1" s="1"/>
  <c r="B24" i="1"/>
  <c r="H23" i="1"/>
  <c r="E23" i="1"/>
  <c r="L23" i="1" s="1"/>
  <c r="B23" i="1"/>
  <c r="H22" i="1"/>
  <c r="E22" i="1"/>
  <c r="L22" i="1" s="1"/>
  <c r="B22" i="1"/>
  <c r="H21" i="1"/>
  <c r="E21" i="1"/>
  <c r="L21" i="1" s="1"/>
  <c r="B21" i="1"/>
  <c r="H20" i="1"/>
  <c r="E20" i="1"/>
  <c r="L20" i="1" s="1"/>
  <c r="B20" i="1"/>
  <c r="H19" i="1"/>
  <c r="E19" i="1"/>
  <c r="L19" i="1" s="1"/>
  <c r="B19" i="1"/>
  <c r="H15" i="1"/>
  <c r="E15" i="1"/>
  <c r="L15" i="1" s="1"/>
  <c r="B15" i="1"/>
  <c r="H14" i="1"/>
  <c r="E14" i="1"/>
  <c r="L14" i="1" s="1"/>
  <c r="B14" i="1"/>
  <c r="C10" i="1"/>
  <c r="D10" i="1" s="1"/>
  <c r="C9" i="1"/>
  <c r="D9" i="1" s="1"/>
  <c r="B8" i="1"/>
  <c r="C8" i="1" s="1"/>
  <c r="D8" i="1" s="1"/>
  <c r="C7" i="1"/>
  <c r="D7" i="1" s="1"/>
  <c r="C6" i="1"/>
  <c r="D6" i="1" s="1"/>
  <c r="B5" i="1"/>
  <c r="C5" i="1" s="1"/>
  <c r="D5" i="1" s="1"/>
  <c r="C4" i="1"/>
  <c r="D4" i="1" s="1"/>
  <c r="C3" i="1"/>
  <c r="D3" i="1" s="1"/>
  <c r="B2" i="1"/>
  <c r="C2" i="1" s="1"/>
  <c r="D2" i="1" s="1"/>
  <c r="B16" i="1" l="1"/>
  <c r="K14" i="1"/>
  <c r="K15" i="1"/>
  <c r="B25" i="1"/>
  <c r="K19" i="1"/>
  <c r="K20" i="1"/>
  <c r="K21" i="1"/>
  <c r="K22" i="1"/>
  <c r="K23" i="1"/>
  <c r="K24" i="1"/>
  <c r="K30" i="1"/>
  <c r="K31" i="1"/>
  <c r="K32" i="1"/>
  <c r="K33" i="1"/>
  <c r="K34" i="1"/>
  <c r="K35" i="1"/>
</calcChain>
</file>

<file path=xl/sharedStrings.xml><?xml version="1.0" encoding="utf-8"?>
<sst xmlns="http://schemas.openxmlformats.org/spreadsheetml/2006/main" count="139" uniqueCount="65">
  <si>
    <t>Count</t>
  </si>
  <si>
    <t>In Millions</t>
  </si>
  <si>
    <t>Total Profiles</t>
  </si>
  <si>
    <t>All time sourced</t>
  </si>
  <si>
    <t>All time Registered</t>
  </si>
  <si>
    <t>12M Active Profiles</t>
  </si>
  <si>
    <t>12M Sourced</t>
  </si>
  <si>
    <t>12M Registered</t>
  </si>
  <si>
    <t>6M Active Profiles</t>
  </si>
  <si>
    <t>6M Sourced</t>
  </si>
  <si>
    <t>6M Reg</t>
  </si>
  <si>
    <t>By Gender</t>
  </si>
  <si>
    <t>6M Registered</t>
  </si>
  <si>
    <t>Total Profiles (in Mn)</t>
  </si>
  <si>
    <t>12M Active Profiles(in Mn)</t>
  </si>
  <si>
    <t>Male</t>
  </si>
  <si>
    <t>Female</t>
  </si>
  <si>
    <t>By Experience</t>
  </si>
  <si>
    <t>0-1 years</t>
  </si>
  <si>
    <t>1-3 Years</t>
  </si>
  <si>
    <t>3-5 Years</t>
  </si>
  <si>
    <t>5-10Years</t>
  </si>
  <si>
    <t>10-15 Years</t>
  </si>
  <si>
    <t>15 Years+</t>
  </si>
  <si>
    <t>Location</t>
  </si>
  <si>
    <t>Bengaluru</t>
  </si>
  <si>
    <t>Chennai</t>
  </si>
  <si>
    <t>Delhi NCR</t>
  </si>
  <si>
    <t>Hyderabad</t>
  </si>
  <si>
    <t>Kolkata</t>
  </si>
  <si>
    <t>Mumbai</t>
  </si>
  <si>
    <t>Pune</t>
  </si>
  <si>
    <t>Tier II cities</t>
  </si>
  <si>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Jaipur</t>
    </r>
  </si>
  <si>
    <t>Indore</t>
  </si>
  <si>
    <t>Kochi</t>
  </si>
  <si>
    <t>Coimbatore</t>
  </si>
  <si>
    <t>Chandigrah</t>
  </si>
  <si>
    <t>Nagpur</t>
  </si>
  <si>
    <t>Surat</t>
  </si>
  <si>
    <t>Lucknow</t>
  </si>
  <si>
    <t>Bhubaneswar</t>
  </si>
  <si>
    <t>Ahmedabad</t>
  </si>
  <si>
    <t>Vadodara</t>
  </si>
  <si>
    <t>Tier III cities</t>
  </si>
  <si>
    <r>
      <rPr>
        <sz val="7"/>
        <color rgb="FF000000"/>
        <rFont val="Times New Roman"/>
      </rPr>
      <t xml:space="preserve">  </t>
    </r>
    <r>
      <rPr>
        <sz val="10"/>
        <color rgb="FF000000"/>
        <rFont val="Times New Roman"/>
      </rPr>
      <t>Aurangabad</t>
    </r>
  </si>
  <si>
    <r>
      <rPr>
        <sz val="7"/>
        <color rgb="FF000000"/>
        <rFont val="Times New Roman"/>
      </rPr>
      <t xml:space="preserve"> </t>
    </r>
    <r>
      <rPr>
        <sz val="10"/>
        <color rgb="FF000000"/>
        <rFont val="Times New Roman"/>
      </rPr>
      <t>Trichy</t>
    </r>
  </si>
  <si>
    <t>Meerut</t>
  </si>
  <si>
    <r>
      <rPr>
        <sz val="7"/>
        <color rgb="FF000000"/>
        <rFont val="Times New Roman"/>
      </rPr>
      <t xml:space="preserve"> </t>
    </r>
    <r>
      <rPr>
        <sz val="10"/>
        <color rgb="FF000000"/>
        <rFont val="Times New Roman"/>
      </rPr>
      <t>Kota</t>
    </r>
  </si>
  <si>
    <t>Patiala</t>
  </si>
  <si>
    <t>Nashik</t>
  </si>
  <si>
    <t>Ghaziabad</t>
  </si>
  <si>
    <t>Visakhapatnam</t>
  </si>
  <si>
    <t>Roles</t>
  </si>
  <si>
    <t>Data Scientist</t>
  </si>
  <si>
    <t>DevOps Engineer</t>
  </si>
  <si>
    <t>Cloud Architect/Engineer</t>
  </si>
  <si>
    <t>Cybersecurity Analyst/Engineer</t>
  </si>
  <si>
    <t>AI/ML Engineer</t>
  </si>
  <si>
    <t>Sub Industry</t>
  </si>
  <si>
    <t>Information Technology</t>
  </si>
  <si>
    <t>Cloud Data Services</t>
  </si>
  <si>
    <t>IT Management</t>
  </si>
  <si>
    <t>Network Security</t>
  </si>
  <si>
    <t>Information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</si>
</sst>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7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</font>
    <font>
      <sz val="7"/>
      <color rgb="FF000000"/>
      <name val="Times New Roman"/>
    </font>
    <font>
      <sz val="11"/>
      <color theme="1" tint="0.499984740745262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/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17" fillId="0" borderId="0" xfId="0" applyFont="1"/>
    <xf numFmtId="0" fontId="1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topLeftCell="A35" workbookViewId="0">
      <selection activeCell="A45" sqref="A45:A48"/>
    </sheetView>
  </sheetViews>
  <sheetFormatPr defaultRowHeight="15"/>
  <cols>
    <col min="1" max="1" width="26.28515625" customWidth="1"/>
    <col min="2" max="2" width="12.7109375" customWidth="1"/>
    <col min="3" max="3" width="16.42578125" customWidth="1"/>
    <col min="4" max="4" width="18.28515625" customWidth="1"/>
    <col min="5" max="5" width="19" customWidth="1"/>
    <col min="6" max="6" width="15" customWidth="1"/>
    <col min="7" max="7" width="14.5703125" customWidth="1"/>
    <col min="8" max="8" width="16.140625" customWidth="1"/>
    <col min="9" max="9" width="12.5703125" customWidth="1"/>
    <col min="10" max="10" width="12.42578125" customWidth="1"/>
    <col min="11" max="11" width="19" customWidth="1"/>
    <col min="12" max="12" width="23.85546875" customWidth="1"/>
  </cols>
  <sheetData>
    <row r="1" spans="1:12">
      <c r="A1" s="1"/>
      <c r="B1" s="2" t="s">
        <v>0</v>
      </c>
      <c r="C1" s="2">
        <v>0.9</v>
      </c>
      <c r="D1" s="3" t="s">
        <v>1</v>
      </c>
    </row>
    <row r="2" spans="1:12">
      <c r="A2" s="4" t="s">
        <v>2</v>
      </c>
      <c r="B2" s="5">
        <f>SUM(B3:B4)</f>
        <v>13500761</v>
      </c>
      <c r="C2" s="6">
        <f>0.9*B2</f>
        <v>12150684.9</v>
      </c>
      <c r="D2" s="6" t="str">
        <f>IF(C2&gt;=1000000, TEXT(C2/1000000,"0.0") &amp; " Mn", TEXT(C2/1000,"0") &amp; " K")</f>
        <v>12.2 Mn</v>
      </c>
    </row>
    <row r="3" spans="1:12">
      <c r="A3" s="7" t="s">
        <v>3</v>
      </c>
      <c r="B3" s="5">
        <v>6897698</v>
      </c>
      <c r="C3" s="6">
        <f t="shared" ref="C3:C10" si="0">0.9*B3</f>
        <v>6207928.2000000002</v>
      </c>
      <c r="D3" s="6" t="str">
        <f t="shared" ref="D3:D10" si="1">IF(C3&gt;=1000000, TEXT(C3/1000000,"0.0") &amp; " Mn", TEXT(C3/1000,"0") &amp; " K")</f>
        <v>6.2 Mn</v>
      </c>
    </row>
    <row r="4" spans="1:12">
      <c r="A4" s="7" t="s">
        <v>4</v>
      </c>
      <c r="B4" s="5">
        <v>6603063</v>
      </c>
      <c r="C4" s="6">
        <f t="shared" si="0"/>
        <v>5942756.7000000002</v>
      </c>
      <c r="D4" s="6" t="str">
        <f t="shared" si="1"/>
        <v>5.9 Mn</v>
      </c>
    </row>
    <row r="5" spans="1:12">
      <c r="A5" s="7" t="s">
        <v>5</v>
      </c>
      <c r="B5" s="5">
        <f>SUM(B6:B7)</f>
        <v>6810340</v>
      </c>
      <c r="C5" s="6">
        <f t="shared" si="0"/>
        <v>6129306</v>
      </c>
      <c r="D5" s="6" t="str">
        <f t="shared" si="1"/>
        <v>6.1 Mn</v>
      </c>
    </row>
    <row r="6" spans="1:12">
      <c r="A6" s="7" t="s">
        <v>6</v>
      </c>
      <c r="B6" s="8">
        <v>5004611</v>
      </c>
      <c r="C6" s="6">
        <f t="shared" si="0"/>
        <v>4504149.9000000004</v>
      </c>
      <c r="D6" s="6" t="str">
        <f t="shared" si="1"/>
        <v>4.5 Mn</v>
      </c>
    </row>
    <row r="7" spans="1:12">
      <c r="A7" s="7" t="s">
        <v>7</v>
      </c>
      <c r="B7" s="8">
        <v>1805729</v>
      </c>
      <c r="C7" s="6">
        <f t="shared" si="0"/>
        <v>1625156.1</v>
      </c>
      <c r="D7" s="6" t="str">
        <f t="shared" si="1"/>
        <v>1.6 Mn</v>
      </c>
    </row>
    <row r="8" spans="1:12">
      <c r="A8" s="7" t="s">
        <v>8</v>
      </c>
      <c r="B8" s="5">
        <f>SUM(B9:B10)</f>
        <v>6009511</v>
      </c>
      <c r="C8" s="6">
        <f t="shared" si="0"/>
        <v>5408559.9000000004</v>
      </c>
      <c r="D8" s="6" t="str">
        <f t="shared" si="1"/>
        <v>5.4 Mn</v>
      </c>
    </row>
    <row r="9" spans="1:12">
      <c r="A9" s="7" t="s">
        <v>9</v>
      </c>
      <c r="B9" s="8">
        <v>4400798</v>
      </c>
      <c r="C9" s="6">
        <f t="shared" si="0"/>
        <v>3960718.2</v>
      </c>
      <c r="D9" s="6" t="str">
        <f t="shared" si="1"/>
        <v>4.0 Mn</v>
      </c>
    </row>
    <row r="10" spans="1:12">
      <c r="A10" s="7" t="s">
        <v>10</v>
      </c>
      <c r="B10" s="8">
        <v>1608713</v>
      </c>
      <c r="C10" s="6">
        <f t="shared" si="0"/>
        <v>1447841.7</v>
      </c>
      <c r="D10" s="6" t="str">
        <f t="shared" si="1"/>
        <v>1.4 Mn</v>
      </c>
    </row>
    <row r="13" spans="1:12" s="30" customFormat="1">
      <c r="A13" s="9" t="s">
        <v>11</v>
      </c>
      <c r="B13" s="9" t="s">
        <v>2</v>
      </c>
      <c r="C13" s="9" t="s">
        <v>3</v>
      </c>
      <c r="D13" s="9" t="s">
        <v>4</v>
      </c>
      <c r="E13" s="9" t="s">
        <v>5</v>
      </c>
      <c r="F13" s="9" t="s">
        <v>6</v>
      </c>
      <c r="G13" s="9" t="s">
        <v>7</v>
      </c>
      <c r="H13" s="29" t="s">
        <v>8</v>
      </c>
      <c r="I13" s="29" t="s">
        <v>9</v>
      </c>
      <c r="J13" s="29" t="s">
        <v>12</v>
      </c>
      <c r="K13" s="12" t="s">
        <v>13</v>
      </c>
      <c r="L13" s="13" t="s">
        <v>14</v>
      </c>
    </row>
    <row r="14" spans="1:12">
      <c r="A14" s="10" t="s">
        <v>15</v>
      </c>
      <c r="B14" s="5">
        <f>C14+D14</f>
        <v>4449256</v>
      </c>
      <c r="C14" s="8">
        <v>706629</v>
      </c>
      <c r="D14" s="8">
        <v>3742627</v>
      </c>
      <c r="E14" s="5">
        <f>F14+G14</f>
        <v>1198215</v>
      </c>
      <c r="F14" s="8">
        <v>110411</v>
      </c>
      <c r="G14" s="8">
        <v>1087804</v>
      </c>
      <c r="H14" s="6">
        <f>I14+J14</f>
        <v>982549</v>
      </c>
      <c r="I14" s="8">
        <v>5214</v>
      </c>
      <c r="J14" s="8">
        <v>977335</v>
      </c>
      <c r="K14" s="6" t="str">
        <f>IF(B14&gt;=500000, TEXT(B14/1000000,"0.0") &amp; " Mn", TEXT(B14/1000,"0") &amp; " K")</f>
        <v>4.4 Mn</v>
      </c>
      <c r="L14" s="6" t="str">
        <f>IF(E14&gt;=1000000, TEXT(E14/1000000,"0.0") &amp; " Mn", TEXT(E14/1000,"0") &amp; " K")</f>
        <v>1.2 Mn</v>
      </c>
    </row>
    <row r="15" spans="1:12">
      <c r="A15" s="10" t="s">
        <v>16</v>
      </c>
      <c r="B15" s="5">
        <f>C15+D15</f>
        <v>1904814</v>
      </c>
      <c r="C15" s="8">
        <v>365086</v>
      </c>
      <c r="D15" s="8">
        <v>1539728</v>
      </c>
      <c r="E15" s="5">
        <f>F15+G15</f>
        <v>541998</v>
      </c>
      <c r="F15" s="8">
        <v>68459</v>
      </c>
      <c r="G15" s="8">
        <v>473539</v>
      </c>
      <c r="H15" s="6">
        <f>I15+J15</f>
        <v>426930</v>
      </c>
      <c r="I15" s="8">
        <v>2412</v>
      </c>
      <c r="J15" s="8">
        <v>424518</v>
      </c>
      <c r="K15" s="6" t="str">
        <f>IF(B15&gt;=500000, TEXT(B15/1000000,"0.0") &amp; " Mn", TEXT(B15/1000,"0") &amp; " K")</f>
        <v>1.9 Mn</v>
      </c>
      <c r="L15" s="6" t="str">
        <f>IF(E15&gt;=1000000, TEXT(E15/1000000,"0.0") &amp; " Mn", TEXT(E15/1000,"0") &amp; " K")</f>
        <v>542 K</v>
      </c>
    </row>
    <row r="16" spans="1:12">
      <c r="B16" s="14">
        <f>SUM(B14:B15)</f>
        <v>6354070</v>
      </c>
    </row>
    <row r="18" spans="1:12" s="30" customFormat="1">
      <c r="A18" s="9" t="s">
        <v>17</v>
      </c>
      <c r="B18" s="9" t="s">
        <v>2</v>
      </c>
      <c r="C18" s="9" t="s">
        <v>3</v>
      </c>
      <c r="D18" s="9" t="s">
        <v>4</v>
      </c>
      <c r="E18" s="9" t="s">
        <v>5</v>
      </c>
      <c r="F18" s="9" t="s">
        <v>6</v>
      </c>
      <c r="G18" s="9" t="s">
        <v>7</v>
      </c>
      <c r="H18" s="29" t="s">
        <v>8</v>
      </c>
      <c r="I18" s="29" t="s">
        <v>9</v>
      </c>
      <c r="J18" s="29" t="s">
        <v>12</v>
      </c>
      <c r="K18" s="12" t="s">
        <v>13</v>
      </c>
      <c r="L18" s="13" t="s">
        <v>14</v>
      </c>
    </row>
    <row r="19" spans="1:12">
      <c r="A19" s="10" t="s">
        <v>18</v>
      </c>
      <c r="B19" s="5">
        <f>C19+D19</f>
        <v>403866</v>
      </c>
      <c r="C19" s="8">
        <v>237143</v>
      </c>
      <c r="D19" s="8">
        <v>166723</v>
      </c>
      <c r="E19" s="5">
        <f>F19+G19</f>
        <v>290493</v>
      </c>
      <c r="F19" s="8">
        <v>200485</v>
      </c>
      <c r="G19" s="8">
        <v>90008</v>
      </c>
      <c r="H19" s="6">
        <f t="shared" ref="H19:H25" si="2">I19+J19</f>
        <v>235666</v>
      </c>
      <c r="I19" s="8">
        <v>153368</v>
      </c>
      <c r="J19" s="8">
        <v>82298</v>
      </c>
      <c r="K19" s="15" t="str">
        <f>IF(B19&gt;=1000000, TEXT(B19/1000000,"0.0") &amp; " Mn", TEXT(B19/1000,"0") &amp; " K")</f>
        <v>404 K</v>
      </c>
      <c r="L19" s="15" t="str">
        <f>IF(E19&gt;=1000000, TEXT(E19/1000000,"0.0") &amp; " Mn", TEXT(E19/1000,"0") &amp; " K")</f>
        <v>290 K</v>
      </c>
    </row>
    <row r="20" spans="1:12">
      <c r="A20" s="10" t="s">
        <v>19</v>
      </c>
      <c r="B20" s="5">
        <f>C20+D20</f>
        <v>1105584</v>
      </c>
      <c r="C20" s="8">
        <v>647623</v>
      </c>
      <c r="D20" s="8">
        <v>457961</v>
      </c>
      <c r="E20" s="5">
        <f>F20+G20</f>
        <v>814958</v>
      </c>
      <c r="F20" s="8">
        <v>571514</v>
      </c>
      <c r="G20" s="8">
        <v>243444</v>
      </c>
      <c r="H20" s="6">
        <f t="shared" si="2"/>
        <v>700060</v>
      </c>
      <c r="I20" s="8">
        <v>480528</v>
      </c>
      <c r="J20" s="8">
        <v>219532</v>
      </c>
      <c r="K20" s="15" t="str">
        <f t="shared" ref="K20:K24" si="3">IF(B20&gt;=1000000, TEXT(B20/1000000,"0.0") &amp; " Mn", TEXT(B20/1000,"0") &amp; " K")</f>
        <v>1.1 Mn</v>
      </c>
      <c r="L20" s="15" t="str">
        <f t="shared" ref="L20:L24" si="4">IF(E20&gt;=1000000, TEXT(E20/1000000,"0.0") &amp; " Mn", TEXT(E20/1000,"0") &amp; " K")</f>
        <v>815 K</v>
      </c>
    </row>
    <row r="21" spans="1:12">
      <c r="A21" s="10" t="s">
        <v>20</v>
      </c>
      <c r="B21" s="5">
        <f t="shared" ref="B21:B24" si="5">C21+D21</f>
        <v>2148905</v>
      </c>
      <c r="C21" s="8">
        <v>1269514</v>
      </c>
      <c r="D21" s="8">
        <v>879391</v>
      </c>
      <c r="E21" s="5">
        <f t="shared" ref="E21:E24" si="6">F21+G21</f>
        <v>1406934</v>
      </c>
      <c r="F21" s="8">
        <v>998649</v>
      </c>
      <c r="G21" s="8">
        <v>408285</v>
      </c>
      <c r="H21" s="6">
        <f t="shared" si="2"/>
        <v>1231528</v>
      </c>
      <c r="I21" s="8">
        <v>863139</v>
      </c>
      <c r="J21" s="8">
        <v>368389</v>
      </c>
      <c r="K21" s="15" t="str">
        <f t="shared" si="3"/>
        <v>2.1 Mn</v>
      </c>
      <c r="L21" s="15" t="str">
        <f t="shared" si="4"/>
        <v>1.4 Mn</v>
      </c>
    </row>
    <row r="22" spans="1:12">
      <c r="A22" s="10" t="s">
        <v>21</v>
      </c>
      <c r="B22" s="5">
        <f>C22+D22</f>
        <v>4033840</v>
      </c>
      <c r="C22" s="8">
        <v>2134381</v>
      </c>
      <c r="D22" s="8">
        <v>1899459</v>
      </c>
      <c r="E22" s="5">
        <f>F22+G22</f>
        <v>2087050</v>
      </c>
      <c r="F22" s="8">
        <v>1555893</v>
      </c>
      <c r="G22" s="8">
        <v>531157</v>
      </c>
      <c r="H22" s="6">
        <f t="shared" si="2"/>
        <v>1853484</v>
      </c>
      <c r="I22" s="8">
        <v>1376488</v>
      </c>
      <c r="J22" s="8">
        <v>476996</v>
      </c>
      <c r="K22" s="15" t="str">
        <f t="shared" si="3"/>
        <v>4.0 Mn</v>
      </c>
      <c r="L22" s="15" t="str">
        <f t="shared" si="4"/>
        <v>2.1 Mn</v>
      </c>
    </row>
    <row r="23" spans="1:12">
      <c r="A23" s="10" t="s">
        <v>22</v>
      </c>
      <c r="B23" s="5">
        <f t="shared" si="5"/>
        <v>2989085</v>
      </c>
      <c r="C23" s="8">
        <v>1273738</v>
      </c>
      <c r="D23" s="8">
        <v>1715347</v>
      </c>
      <c r="E23" s="5">
        <f>F23+G23</f>
        <v>1209819</v>
      </c>
      <c r="F23" s="8">
        <v>913050</v>
      </c>
      <c r="G23" s="8">
        <v>296769</v>
      </c>
      <c r="H23" s="6">
        <f t="shared" si="2"/>
        <v>1097104</v>
      </c>
      <c r="I23" s="8">
        <v>830645</v>
      </c>
      <c r="J23" s="8">
        <v>266459</v>
      </c>
      <c r="K23" s="15" t="str">
        <f t="shared" si="3"/>
        <v>3.0 Mn</v>
      </c>
      <c r="L23" s="15" t="str">
        <f t="shared" si="4"/>
        <v>1.2 Mn</v>
      </c>
    </row>
    <row r="24" spans="1:12">
      <c r="A24" s="10" t="s">
        <v>23</v>
      </c>
      <c r="B24" s="5">
        <f t="shared" si="5"/>
        <v>2890097</v>
      </c>
      <c r="C24" s="8">
        <v>1228389</v>
      </c>
      <c r="D24" s="8">
        <v>1661708</v>
      </c>
      <c r="E24" s="5">
        <f t="shared" si="6"/>
        <v>1148569</v>
      </c>
      <c r="F24" s="8">
        <v>861395</v>
      </c>
      <c r="G24" s="8">
        <v>287174</v>
      </c>
      <c r="H24" s="6">
        <f t="shared" si="2"/>
        <v>1046561</v>
      </c>
      <c r="I24" s="8">
        <v>789592</v>
      </c>
      <c r="J24" s="8">
        <v>256969</v>
      </c>
      <c r="K24" s="15" t="str">
        <f t="shared" si="3"/>
        <v>2.9 Mn</v>
      </c>
      <c r="L24" s="15" t="str">
        <f t="shared" si="4"/>
        <v>1.1 Mn</v>
      </c>
    </row>
    <row r="25" spans="1:12">
      <c r="A25" s="16"/>
      <c r="B25" s="17">
        <f>SUM(B19:B24)</f>
        <v>13571377</v>
      </c>
      <c r="C25" s="5"/>
      <c r="D25" s="5"/>
      <c r="E25" s="5"/>
      <c r="F25" s="5"/>
      <c r="G25" s="5"/>
      <c r="H25" s="6">
        <f t="shared" si="2"/>
        <v>0</v>
      </c>
      <c r="I25" s="6"/>
      <c r="J25" s="6"/>
      <c r="K25" s="15"/>
      <c r="L25" s="15"/>
    </row>
    <row r="28" spans="1:12" s="30" customFormat="1">
      <c r="A28" s="18" t="s">
        <v>24</v>
      </c>
      <c r="B28" s="9" t="s">
        <v>2</v>
      </c>
      <c r="C28" s="9" t="s">
        <v>3</v>
      </c>
      <c r="D28" s="9" t="s">
        <v>4</v>
      </c>
      <c r="E28" s="9" t="s">
        <v>5</v>
      </c>
      <c r="F28" s="9" t="s">
        <v>6</v>
      </c>
      <c r="G28" s="9" t="s">
        <v>7</v>
      </c>
      <c r="H28" s="29" t="s">
        <v>8</v>
      </c>
      <c r="I28" s="29" t="s">
        <v>9</v>
      </c>
      <c r="J28" s="29" t="s">
        <v>12</v>
      </c>
      <c r="K28" s="12" t="s">
        <v>13</v>
      </c>
      <c r="L28" s="13" t="s">
        <v>14</v>
      </c>
    </row>
    <row r="29" spans="1:12">
      <c r="A29" s="5" t="s">
        <v>25</v>
      </c>
      <c r="B29" s="5">
        <f t="shared" ref="B29:B35" si="7">C29+D29</f>
        <v>3204548</v>
      </c>
      <c r="C29" s="8">
        <v>1104298</v>
      </c>
      <c r="D29" s="8">
        <v>2100250</v>
      </c>
      <c r="E29" s="5">
        <f t="shared" ref="E29:E35" si="8">F29+G29</f>
        <v>1416808</v>
      </c>
      <c r="F29" s="8">
        <v>752245</v>
      </c>
      <c r="G29" s="8">
        <v>664563</v>
      </c>
      <c r="H29" s="6">
        <f t="shared" ref="H29:H35" si="9">I29+J29</f>
        <v>1273868</v>
      </c>
      <c r="I29" s="8">
        <v>670336</v>
      </c>
      <c r="J29" s="8">
        <v>603532</v>
      </c>
      <c r="K29" s="15" t="str">
        <f>IF(B29&gt;=1000000, TEXT(B29/1000000,"0.0") &amp; " Mn", TEXT(B29/1000,"0") &amp; " K")</f>
        <v>3.2 Mn</v>
      </c>
      <c r="L29" s="6" t="str">
        <f>IF(E29&gt;=1000000, TEXT(E29/1000000,"0.0") &amp; " Mn", TEXT(E29/1000,"0") &amp; " K")</f>
        <v>1.4 Mn</v>
      </c>
    </row>
    <row r="30" spans="1:12">
      <c r="A30" s="5" t="s">
        <v>26</v>
      </c>
      <c r="B30" s="5">
        <f t="shared" si="7"/>
        <v>1398382</v>
      </c>
      <c r="C30" s="8">
        <v>451062</v>
      </c>
      <c r="D30" s="8">
        <v>947320</v>
      </c>
      <c r="E30" s="5">
        <f t="shared" si="8"/>
        <v>609770</v>
      </c>
      <c r="F30" s="8">
        <v>318871</v>
      </c>
      <c r="G30" s="8">
        <v>290899</v>
      </c>
      <c r="H30" s="6">
        <f t="shared" si="9"/>
        <v>545653</v>
      </c>
      <c r="I30" s="8">
        <v>282910</v>
      </c>
      <c r="J30" s="8">
        <v>262743</v>
      </c>
      <c r="K30" s="15" t="str">
        <f t="shared" ref="K30:K35" si="10">IF(B30&gt;=1000000, TEXT(B30/1000000,"0.0") &amp; " Mn", TEXT(B30/1000,"0") &amp; " K")</f>
        <v>1.4 Mn</v>
      </c>
      <c r="L30" s="6" t="str">
        <f t="shared" ref="L30:L35" si="11">IF(E30&gt;=1000000, TEXT(E30/1000000,"0.0") &amp; " Mn", TEXT(E30/1000,"0") &amp; " K")</f>
        <v>610 K</v>
      </c>
    </row>
    <row r="31" spans="1:12">
      <c r="A31" s="5" t="s">
        <v>27</v>
      </c>
      <c r="B31" s="5">
        <f t="shared" si="7"/>
        <v>2128206</v>
      </c>
      <c r="C31" s="8">
        <v>836561</v>
      </c>
      <c r="D31" s="8">
        <v>1291645</v>
      </c>
      <c r="E31" s="5">
        <f t="shared" si="8"/>
        <v>990649</v>
      </c>
      <c r="F31" s="8">
        <v>603227</v>
      </c>
      <c r="G31" s="8">
        <v>387422</v>
      </c>
      <c r="H31" s="6">
        <f t="shared" si="9"/>
        <v>876117</v>
      </c>
      <c r="I31" s="8">
        <v>523164</v>
      </c>
      <c r="J31" s="8">
        <v>352953</v>
      </c>
      <c r="K31" s="15" t="str">
        <f t="shared" si="10"/>
        <v>2.1 Mn</v>
      </c>
      <c r="L31" s="6" t="str">
        <f t="shared" si="11"/>
        <v>991 K</v>
      </c>
    </row>
    <row r="32" spans="1:12">
      <c r="A32" s="5" t="s">
        <v>28</v>
      </c>
      <c r="B32" s="5">
        <f t="shared" si="7"/>
        <v>1858702</v>
      </c>
      <c r="C32" s="8">
        <v>616010</v>
      </c>
      <c r="D32" s="8">
        <v>1242692</v>
      </c>
      <c r="E32" s="5">
        <f t="shared" si="8"/>
        <v>852287</v>
      </c>
      <c r="F32" s="8">
        <v>425028</v>
      </c>
      <c r="G32" s="8">
        <v>427259</v>
      </c>
      <c r="H32" s="6">
        <f t="shared" si="9"/>
        <v>766524</v>
      </c>
      <c r="I32" s="8">
        <v>376660</v>
      </c>
      <c r="J32" s="8">
        <v>389864</v>
      </c>
      <c r="K32" s="15" t="str">
        <f t="shared" si="10"/>
        <v>1.9 Mn</v>
      </c>
      <c r="L32" s="6" t="str">
        <f t="shared" si="11"/>
        <v>852 K</v>
      </c>
    </row>
    <row r="33" spans="1:12">
      <c r="A33" s="5" t="s">
        <v>29</v>
      </c>
      <c r="B33" s="5">
        <f t="shared" si="7"/>
        <v>481218</v>
      </c>
      <c r="C33" s="8">
        <v>162154</v>
      </c>
      <c r="D33" s="8">
        <v>319064</v>
      </c>
      <c r="E33" s="5">
        <f t="shared" si="8"/>
        <v>208218</v>
      </c>
      <c r="F33" s="8">
        <v>122112</v>
      </c>
      <c r="G33" s="8">
        <v>86106</v>
      </c>
      <c r="H33" s="6">
        <f t="shared" si="9"/>
        <v>185551</v>
      </c>
      <c r="I33" s="8">
        <v>107337</v>
      </c>
      <c r="J33" s="8">
        <v>78214</v>
      </c>
      <c r="K33" s="15" t="str">
        <f t="shared" si="10"/>
        <v>481 K</v>
      </c>
      <c r="L33" s="6" t="str">
        <f t="shared" si="11"/>
        <v>208 K</v>
      </c>
    </row>
    <row r="34" spans="1:12">
      <c r="A34" s="5" t="s">
        <v>30</v>
      </c>
      <c r="B34" s="5">
        <f t="shared" si="7"/>
        <v>1346611</v>
      </c>
      <c r="C34" s="8">
        <v>496267</v>
      </c>
      <c r="D34" s="8">
        <v>850344</v>
      </c>
      <c r="E34" s="5">
        <f t="shared" si="8"/>
        <v>575114</v>
      </c>
      <c r="F34" s="8">
        <v>353282</v>
      </c>
      <c r="G34" s="8">
        <v>221832</v>
      </c>
      <c r="H34" s="6">
        <f t="shared" si="9"/>
        <v>508783</v>
      </c>
      <c r="I34" s="8">
        <v>308596</v>
      </c>
      <c r="J34" s="8">
        <v>200187</v>
      </c>
      <c r="K34" s="15" t="str">
        <f t="shared" si="10"/>
        <v>1.3 Mn</v>
      </c>
      <c r="L34" s="6" t="str">
        <f t="shared" si="11"/>
        <v>575 K</v>
      </c>
    </row>
    <row r="35" spans="1:12">
      <c r="A35" s="5" t="s">
        <v>31</v>
      </c>
      <c r="B35" s="5">
        <f t="shared" si="7"/>
        <v>1742831</v>
      </c>
      <c r="C35" s="8">
        <v>519040</v>
      </c>
      <c r="D35" s="8">
        <v>1223791</v>
      </c>
      <c r="E35" s="5">
        <f t="shared" si="8"/>
        <v>781877</v>
      </c>
      <c r="F35" s="8">
        <v>369934</v>
      </c>
      <c r="G35" s="8">
        <v>411943</v>
      </c>
      <c r="H35" s="6">
        <f t="shared" si="9"/>
        <v>704317</v>
      </c>
      <c r="I35" s="8">
        <v>329728</v>
      </c>
      <c r="J35" s="8">
        <v>374589</v>
      </c>
      <c r="K35" s="15" t="str">
        <f t="shared" si="10"/>
        <v>1.7 Mn</v>
      </c>
      <c r="L35" s="6" t="str">
        <f t="shared" si="11"/>
        <v>782 K</v>
      </c>
    </row>
    <row r="36" spans="1:12">
      <c r="I36" s="19"/>
      <c r="J36" s="19"/>
    </row>
    <row r="37" spans="1:12" s="30" customFormat="1">
      <c r="A37" s="18" t="s">
        <v>32</v>
      </c>
      <c r="B37" s="9" t="s">
        <v>2</v>
      </c>
      <c r="C37" s="9" t="s">
        <v>3</v>
      </c>
      <c r="D37" s="9" t="s">
        <v>4</v>
      </c>
      <c r="E37" s="9" t="s">
        <v>5</v>
      </c>
      <c r="F37" s="9" t="s">
        <v>6</v>
      </c>
      <c r="G37" s="9" t="s">
        <v>7</v>
      </c>
      <c r="H37" s="29" t="s">
        <v>8</v>
      </c>
      <c r="I37" s="29" t="s">
        <v>9</v>
      </c>
      <c r="J37" s="29" t="s">
        <v>12</v>
      </c>
      <c r="K37" s="12" t="s">
        <v>13</v>
      </c>
      <c r="L37" s="13" t="s">
        <v>14</v>
      </c>
    </row>
    <row r="38" spans="1:12">
      <c r="A38" s="20" t="s">
        <v>33</v>
      </c>
      <c r="B38" s="5">
        <f t="shared" ref="B38:B48" si="12">C38+D38</f>
        <v>156360</v>
      </c>
      <c r="C38" s="8">
        <v>65675</v>
      </c>
      <c r="D38" s="8">
        <v>90685</v>
      </c>
      <c r="E38" s="5">
        <f t="shared" ref="E38:E48" si="13">F38+G38</f>
        <v>76603</v>
      </c>
      <c r="F38" s="8">
        <v>49789</v>
      </c>
      <c r="G38" s="8">
        <v>26814</v>
      </c>
      <c r="H38" s="6">
        <f t="shared" ref="H38:H48" si="14">I38+J38</f>
        <v>68028</v>
      </c>
      <c r="I38" s="8">
        <v>43792</v>
      </c>
      <c r="J38" s="8">
        <v>24236</v>
      </c>
      <c r="K38" s="15" t="str">
        <f>IF(B38&gt;=1000000, TEXT(B38/1000000,"0.0") &amp; " Mn", TEXT(B38/1000,"0") &amp; " K")</f>
        <v>156 K</v>
      </c>
      <c r="L38" s="6" t="str">
        <f>IF(E38&gt;=1000000, TEXT(E38/1000000,"0.0") &amp; " Mn", TEXT(E38/1000,"0") &amp; " K")</f>
        <v>77 K</v>
      </c>
    </row>
    <row r="39" spans="1:12">
      <c r="A39" s="5" t="s">
        <v>34</v>
      </c>
      <c r="B39" s="5">
        <f t="shared" si="12"/>
        <v>149934</v>
      </c>
      <c r="C39" s="8">
        <v>58159</v>
      </c>
      <c r="D39" s="8">
        <v>91775</v>
      </c>
      <c r="E39" s="5">
        <f t="shared" si="13"/>
        <v>76159</v>
      </c>
      <c r="F39" s="8">
        <v>44129</v>
      </c>
      <c r="G39" s="8">
        <v>32030</v>
      </c>
      <c r="H39" s="6">
        <f t="shared" si="14"/>
        <v>67527</v>
      </c>
      <c r="I39" s="8">
        <v>38636</v>
      </c>
      <c r="J39" s="8">
        <v>28891</v>
      </c>
      <c r="K39" s="15" t="str">
        <f t="shared" ref="K39:K48" si="15">IF(B39&gt;=1000000, TEXT(B39/1000000,"0.0") &amp; " Mn", TEXT(B39/1000,"0") &amp; " K")</f>
        <v>150 K</v>
      </c>
      <c r="L39" s="6" t="str">
        <f t="shared" ref="L39:L48" si="16">IF(E39&gt;=1000000, TEXT(E39/1000000,"0.0") &amp; " Mn", TEXT(E39/1000,"0") &amp; " K")</f>
        <v>76 K</v>
      </c>
    </row>
    <row r="40" spans="1:12">
      <c r="A40" s="5" t="s">
        <v>35</v>
      </c>
      <c r="B40" s="5">
        <f t="shared" si="12"/>
        <v>173946</v>
      </c>
      <c r="C40" s="8">
        <v>57851</v>
      </c>
      <c r="D40" s="8">
        <v>116095</v>
      </c>
      <c r="E40" s="5">
        <f t="shared" si="13"/>
        <v>75394</v>
      </c>
      <c r="F40" s="8">
        <v>42748</v>
      </c>
      <c r="G40" s="8">
        <v>32646</v>
      </c>
      <c r="H40" s="6">
        <f t="shared" si="14"/>
        <v>66304</v>
      </c>
      <c r="I40" s="8">
        <v>36999</v>
      </c>
      <c r="J40" s="8">
        <v>29305</v>
      </c>
      <c r="K40" s="15" t="str">
        <f t="shared" si="15"/>
        <v>174 K</v>
      </c>
      <c r="L40" s="6" t="str">
        <f t="shared" si="16"/>
        <v>75 K</v>
      </c>
    </row>
    <row r="41" spans="1:12">
      <c r="A41" s="5" t="s">
        <v>36</v>
      </c>
      <c r="B41" s="5">
        <f>C41+D41</f>
        <v>227436</v>
      </c>
      <c r="C41" s="8">
        <v>74896</v>
      </c>
      <c r="D41" s="8">
        <v>152540</v>
      </c>
      <c r="E41" s="5">
        <f>F41+G41</f>
        <v>108127</v>
      </c>
      <c r="F41" s="8">
        <v>57796</v>
      </c>
      <c r="G41" s="8">
        <v>50331</v>
      </c>
      <c r="H41" s="6">
        <f>I41+J41</f>
        <v>96886</v>
      </c>
      <c r="I41" s="8">
        <v>51749</v>
      </c>
      <c r="J41" s="8">
        <v>45137</v>
      </c>
      <c r="K41" s="15" t="str">
        <f t="shared" si="15"/>
        <v>227 K</v>
      </c>
      <c r="L41" s="6" t="str">
        <f t="shared" si="16"/>
        <v>108 K</v>
      </c>
    </row>
    <row r="42" spans="1:12">
      <c r="A42" s="5" t="s">
        <v>37</v>
      </c>
      <c r="B42" s="28">
        <f>C42+D42</f>
        <v>95360</v>
      </c>
      <c r="C42" s="8">
        <v>47680</v>
      </c>
      <c r="D42" s="8">
        <v>47680</v>
      </c>
      <c r="E42" s="5">
        <f>F42+G42</f>
        <v>57443</v>
      </c>
      <c r="F42" s="8">
        <v>36576</v>
      </c>
      <c r="G42" s="8">
        <v>20867</v>
      </c>
      <c r="H42" s="6">
        <f t="shared" si="14"/>
        <v>51395</v>
      </c>
      <c r="I42" s="8">
        <v>32129</v>
      </c>
      <c r="J42" s="8">
        <v>19266</v>
      </c>
      <c r="K42" s="15" t="str">
        <f t="shared" si="15"/>
        <v>95 K</v>
      </c>
      <c r="L42" s="6" t="str">
        <f t="shared" si="16"/>
        <v>57 K</v>
      </c>
    </row>
    <row r="43" spans="1:12">
      <c r="A43" s="5" t="s">
        <v>38</v>
      </c>
      <c r="B43" s="5">
        <f t="shared" si="12"/>
        <v>119684</v>
      </c>
      <c r="C43" s="8">
        <v>44309</v>
      </c>
      <c r="D43" s="8">
        <v>75375</v>
      </c>
      <c r="E43" s="5">
        <f t="shared" si="13"/>
        <v>60496</v>
      </c>
      <c r="F43" s="8">
        <v>34794</v>
      </c>
      <c r="G43" s="8">
        <v>25702</v>
      </c>
      <c r="H43" s="6">
        <f t="shared" si="14"/>
        <v>53518</v>
      </c>
      <c r="I43" s="8">
        <v>30461</v>
      </c>
      <c r="J43" s="8">
        <v>23057</v>
      </c>
      <c r="K43" s="15" t="str">
        <f t="shared" si="15"/>
        <v>120 K</v>
      </c>
      <c r="L43" s="6" t="str">
        <f t="shared" si="16"/>
        <v>60 K</v>
      </c>
    </row>
    <row r="44" spans="1:12">
      <c r="A44" s="5" t="s">
        <v>39</v>
      </c>
      <c r="B44" s="5">
        <f t="shared" si="12"/>
        <v>68051</v>
      </c>
      <c r="C44" s="8">
        <v>32036</v>
      </c>
      <c r="D44" s="8">
        <v>36015</v>
      </c>
      <c r="E44" s="5">
        <f t="shared" si="13"/>
        <v>36079</v>
      </c>
      <c r="F44" s="8">
        <v>26125</v>
      </c>
      <c r="G44" s="8">
        <v>9954</v>
      </c>
      <c r="H44" s="6">
        <f t="shared" si="14"/>
        <v>32253</v>
      </c>
      <c r="I44" s="8">
        <v>23188</v>
      </c>
      <c r="J44" s="8">
        <v>9065</v>
      </c>
      <c r="K44" s="15" t="str">
        <f t="shared" si="15"/>
        <v>68 K</v>
      </c>
      <c r="L44" s="6" t="str">
        <f t="shared" si="16"/>
        <v>36 K</v>
      </c>
    </row>
    <row r="45" spans="1:12" ht="16.5">
      <c r="A45" s="31" t="s">
        <v>40</v>
      </c>
      <c r="B45" s="5">
        <f t="shared" si="12"/>
        <v>133730</v>
      </c>
      <c r="C45" s="8">
        <v>48363</v>
      </c>
      <c r="D45" s="8">
        <v>85367</v>
      </c>
      <c r="E45" s="5">
        <f t="shared" si="13"/>
        <v>63407</v>
      </c>
      <c r="F45" s="8">
        <v>37035</v>
      </c>
      <c r="G45" s="8">
        <v>26372</v>
      </c>
      <c r="H45" s="6">
        <f t="shared" si="14"/>
        <v>56057</v>
      </c>
      <c r="I45" s="8">
        <v>32350</v>
      </c>
      <c r="J45" s="8">
        <v>23707</v>
      </c>
      <c r="K45" s="15" t="str">
        <f t="shared" si="15"/>
        <v>134 K</v>
      </c>
      <c r="L45" s="6" t="str">
        <f t="shared" si="16"/>
        <v>63 K</v>
      </c>
    </row>
    <row r="46" spans="1:12" ht="16.5">
      <c r="A46" s="31" t="s">
        <v>41</v>
      </c>
      <c r="B46" s="5">
        <f t="shared" si="12"/>
        <v>94904</v>
      </c>
      <c r="C46" s="8">
        <v>26834</v>
      </c>
      <c r="D46" s="8">
        <v>68070</v>
      </c>
      <c r="E46" s="5">
        <f t="shared" si="13"/>
        <v>41215</v>
      </c>
      <c r="F46" s="8">
        <v>20505</v>
      </c>
      <c r="G46" s="8">
        <v>20710</v>
      </c>
      <c r="H46" s="6">
        <f t="shared" si="14"/>
        <v>36671</v>
      </c>
      <c r="I46" s="8">
        <v>17879</v>
      </c>
      <c r="J46" s="8">
        <v>18792</v>
      </c>
      <c r="K46" s="15" t="str">
        <f t="shared" si="15"/>
        <v>95 K</v>
      </c>
      <c r="L46" s="6" t="str">
        <f t="shared" si="16"/>
        <v>41 K</v>
      </c>
    </row>
    <row r="47" spans="1:12" ht="16.5">
      <c r="A47" s="31" t="s">
        <v>42</v>
      </c>
      <c r="B47" s="5">
        <f t="shared" si="12"/>
        <v>304215</v>
      </c>
      <c r="C47" s="8">
        <v>130629</v>
      </c>
      <c r="D47" s="8">
        <v>173586</v>
      </c>
      <c r="E47" s="5">
        <f t="shared" si="13"/>
        <v>142307</v>
      </c>
      <c r="F47" s="8">
        <v>96871</v>
      </c>
      <c r="G47" s="8">
        <v>45436</v>
      </c>
      <c r="H47" s="6">
        <f t="shared" si="14"/>
        <v>126403</v>
      </c>
      <c r="I47" s="8">
        <v>85473</v>
      </c>
      <c r="J47" s="8">
        <v>40930</v>
      </c>
      <c r="K47" s="15" t="str">
        <f t="shared" si="15"/>
        <v>304 K</v>
      </c>
      <c r="L47" s="6" t="str">
        <f t="shared" si="16"/>
        <v>142 K</v>
      </c>
    </row>
    <row r="48" spans="1:12" ht="16.5">
      <c r="A48" s="31" t="s">
        <v>43</v>
      </c>
      <c r="B48" s="5">
        <f t="shared" si="12"/>
        <v>100999</v>
      </c>
      <c r="C48" s="8">
        <v>40354</v>
      </c>
      <c r="D48" s="8">
        <v>60645</v>
      </c>
      <c r="E48" s="5">
        <f t="shared" si="13"/>
        <v>46427</v>
      </c>
      <c r="F48" s="8">
        <v>30976</v>
      </c>
      <c r="G48" s="8">
        <v>15451</v>
      </c>
      <c r="H48" s="6">
        <f t="shared" si="14"/>
        <v>41102</v>
      </c>
      <c r="I48" s="8">
        <v>27062</v>
      </c>
      <c r="J48" s="8">
        <v>14040</v>
      </c>
      <c r="K48" s="15" t="str">
        <f t="shared" si="15"/>
        <v>101 K</v>
      </c>
      <c r="L48" s="6" t="str">
        <f t="shared" si="16"/>
        <v>46 K</v>
      </c>
    </row>
    <row r="50" spans="1:12" s="30" customFormat="1">
      <c r="A50" s="18" t="s">
        <v>44</v>
      </c>
      <c r="B50" s="9" t="s">
        <v>2</v>
      </c>
      <c r="C50" s="9" t="s">
        <v>3</v>
      </c>
      <c r="D50" s="9" t="s">
        <v>4</v>
      </c>
      <c r="E50" s="9" t="s">
        <v>5</v>
      </c>
      <c r="F50" s="9" t="s">
        <v>6</v>
      </c>
      <c r="G50" s="9" t="s">
        <v>7</v>
      </c>
      <c r="H50" s="29" t="s">
        <v>8</v>
      </c>
      <c r="I50" s="29" t="s">
        <v>9</v>
      </c>
      <c r="J50" s="29" t="s">
        <v>12</v>
      </c>
      <c r="K50" s="12" t="s">
        <v>13</v>
      </c>
      <c r="L50" s="13" t="s">
        <v>14</v>
      </c>
    </row>
    <row r="51" spans="1:12">
      <c r="A51" s="22" t="s">
        <v>45</v>
      </c>
      <c r="B51" s="5">
        <f>C51+D51</f>
        <v>33531</v>
      </c>
      <c r="C51" s="8">
        <v>8279</v>
      </c>
      <c r="D51" s="8">
        <v>25252</v>
      </c>
      <c r="E51" s="5">
        <f>F51+G51</f>
        <v>12358</v>
      </c>
      <c r="F51" s="8">
        <v>5657</v>
      </c>
      <c r="G51" s="8">
        <v>6701</v>
      </c>
      <c r="H51" s="6">
        <f>I51+J51</f>
        <v>10816</v>
      </c>
      <c r="I51" s="8">
        <v>4915</v>
      </c>
      <c r="J51" s="8">
        <v>5901</v>
      </c>
      <c r="K51" s="15" t="str">
        <f>IF(B51&gt;=1000000, TEXT(B51/1000000,"0.0") &amp; " Mn", TEXT(B51/1000,"0") &amp; " K")</f>
        <v>34 K</v>
      </c>
      <c r="L51" s="6" t="str">
        <f>IF(E51&gt;=1000000, TEXT(E51/1000000,"0.0") &amp; " Mn", TEXT(E51/1000,"0") &amp; " K")</f>
        <v>12 K</v>
      </c>
    </row>
    <row r="52" spans="1:12">
      <c r="A52" s="22" t="s">
        <v>46</v>
      </c>
      <c r="B52" s="5">
        <f t="shared" ref="B52:B58" si="17">C52+D52</f>
        <v>41663</v>
      </c>
      <c r="C52" s="8">
        <v>14842</v>
      </c>
      <c r="D52" s="8">
        <v>26821</v>
      </c>
      <c r="E52" s="5">
        <f t="shared" ref="E52:E58" si="18">F52+G52</f>
        <v>18059</v>
      </c>
      <c r="F52" s="8">
        <v>11257</v>
      </c>
      <c r="G52" s="8">
        <v>6802</v>
      </c>
      <c r="H52" s="6">
        <f>I52+J52</f>
        <v>15714</v>
      </c>
      <c r="I52" s="8">
        <v>9759</v>
      </c>
      <c r="J52" s="8">
        <v>5955</v>
      </c>
      <c r="K52" s="15" t="str">
        <f t="shared" ref="K52:K61" si="19">IF(B52&gt;=1000000, TEXT(B52/1000000,"0.0") &amp; " Mn", TEXT(B52/1000,"0") &amp; " K")</f>
        <v>42 K</v>
      </c>
      <c r="L52" s="6" t="str">
        <f t="shared" ref="L52:L58" si="20">IF(E52&gt;=1000000, TEXT(E52/1000000,"0.0") &amp; " Mn", TEXT(E52/1000,"0") &amp; " K")</f>
        <v>18 K</v>
      </c>
    </row>
    <row r="53" spans="1:12">
      <c r="A53" s="22" t="s">
        <v>47</v>
      </c>
      <c r="B53" s="5">
        <f t="shared" si="17"/>
        <v>25190</v>
      </c>
      <c r="C53" s="8">
        <v>9028</v>
      </c>
      <c r="D53" s="8">
        <v>16162</v>
      </c>
      <c r="E53" s="5">
        <f t="shared" si="18"/>
        <v>10765</v>
      </c>
      <c r="F53" s="8">
        <v>6967</v>
      </c>
      <c r="G53" s="8">
        <v>3798</v>
      </c>
      <c r="H53" s="6">
        <f>I53+J53</f>
        <v>9479</v>
      </c>
      <c r="I53" s="8">
        <v>6104</v>
      </c>
      <c r="J53" s="8">
        <v>3375</v>
      </c>
      <c r="K53" s="15" t="str">
        <f t="shared" si="19"/>
        <v>25 K</v>
      </c>
      <c r="L53" s="6" t="str">
        <f t="shared" si="20"/>
        <v>11 K</v>
      </c>
    </row>
    <row r="54" spans="1:12">
      <c r="A54" s="22" t="s">
        <v>48</v>
      </c>
      <c r="B54" s="5">
        <f t="shared" si="17"/>
        <v>15333</v>
      </c>
      <c r="C54" s="8">
        <v>7196</v>
      </c>
      <c r="D54" s="8">
        <v>8137</v>
      </c>
      <c r="E54" s="5">
        <f t="shared" si="18"/>
        <v>7452</v>
      </c>
      <c r="F54" s="8">
        <v>5486</v>
      </c>
      <c r="G54" s="8">
        <v>1966</v>
      </c>
      <c r="H54" s="6">
        <f>I54+J54</f>
        <v>6561</v>
      </c>
      <c r="I54" s="8">
        <v>4791</v>
      </c>
      <c r="J54" s="8">
        <v>1770</v>
      </c>
      <c r="K54" s="15" t="str">
        <f t="shared" si="19"/>
        <v>15 K</v>
      </c>
      <c r="L54" s="6" t="str">
        <f t="shared" si="20"/>
        <v>7 K</v>
      </c>
    </row>
    <row r="55" spans="1:12">
      <c r="A55" s="22" t="s">
        <v>49</v>
      </c>
      <c r="B55" s="5">
        <f t="shared" si="17"/>
        <v>11757</v>
      </c>
      <c r="C55" s="8">
        <v>5232</v>
      </c>
      <c r="D55" s="8">
        <v>6525</v>
      </c>
      <c r="E55" s="5">
        <f t="shared" si="18"/>
        <v>5152</v>
      </c>
      <c r="F55" s="8">
        <v>4051</v>
      </c>
      <c r="G55" s="8">
        <v>1101</v>
      </c>
      <c r="H55" s="6">
        <f>I55+J55</f>
        <v>4500</v>
      </c>
      <c r="I55" s="8">
        <v>3511</v>
      </c>
      <c r="J55" s="8">
        <v>989</v>
      </c>
      <c r="K55" s="15" t="str">
        <f t="shared" si="19"/>
        <v>12 K</v>
      </c>
      <c r="L55" s="6" t="str">
        <f t="shared" si="20"/>
        <v>5 K</v>
      </c>
    </row>
    <row r="56" spans="1:12">
      <c r="A56" s="21" t="s">
        <v>50</v>
      </c>
      <c r="B56" s="5">
        <f t="shared" si="17"/>
        <v>23433</v>
      </c>
      <c r="C56" s="8">
        <v>456</v>
      </c>
      <c r="D56" s="8">
        <v>22977</v>
      </c>
      <c r="E56" s="5">
        <f t="shared" si="18"/>
        <v>9691</v>
      </c>
      <c r="F56" s="8">
        <v>270</v>
      </c>
      <c r="G56" s="8">
        <v>9421</v>
      </c>
      <c r="H56" s="6">
        <f t="shared" ref="H56:H58" si="21">I56+J56</f>
        <v>8580</v>
      </c>
      <c r="I56" s="8">
        <v>230</v>
      </c>
      <c r="J56" s="8">
        <v>8350</v>
      </c>
      <c r="K56" s="15" t="str">
        <f t="shared" si="19"/>
        <v>23 K</v>
      </c>
      <c r="L56" s="6" t="str">
        <f t="shared" si="20"/>
        <v>10 K</v>
      </c>
    </row>
    <row r="57" spans="1:12">
      <c r="A57" s="21" t="s">
        <v>51</v>
      </c>
      <c r="B57" s="5">
        <f t="shared" si="17"/>
        <v>108332</v>
      </c>
      <c r="C57" s="8">
        <v>40600</v>
      </c>
      <c r="D57" s="8">
        <v>67732</v>
      </c>
      <c r="E57" s="5">
        <f t="shared" si="18"/>
        <v>47982</v>
      </c>
      <c r="F57" s="8">
        <v>31362</v>
      </c>
      <c r="G57" s="8">
        <v>16620</v>
      </c>
      <c r="H57" s="6">
        <f t="shared" si="21"/>
        <v>41740</v>
      </c>
      <c r="I57" s="8">
        <v>27300</v>
      </c>
      <c r="J57" s="8">
        <v>14440</v>
      </c>
      <c r="K57" s="15" t="str">
        <f t="shared" si="19"/>
        <v>108 K</v>
      </c>
      <c r="L57" s="6" t="str">
        <f t="shared" si="20"/>
        <v>48 K</v>
      </c>
    </row>
    <row r="58" spans="1:12">
      <c r="A58" s="21" t="s">
        <v>52</v>
      </c>
      <c r="B58" s="5">
        <f t="shared" si="17"/>
        <v>81287</v>
      </c>
      <c r="C58" s="8">
        <v>16796</v>
      </c>
      <c r="D58" s="8">
        <v>64491</v>
      </c>
      <c r="E58" s="5">
        <f t="shared" si="18"/>
        <v>28725</v>
      </c>
      <c r="F58" s="8">
        <v>10107</v>
      </c>
      <c r="G58" s="8">
        <v>18618</v>
      </c>
      <c r="H58" s="6">
        <f t="shared" si="21"/>
        <v>25008</v>
      </c>
      <c r="I58" s="8">
        <v>8347</v>
      </c>
      <c r="J58" s="8">
        <v>16661</v>
      </c>
      <c r="K58" s="15" t="str">
        <f t="shared" si="19"/>
        <v>81 K</v>
      </c>
      <c r="L58" s="6" t="str">
        <f t="shared" si="20"/>
        <v>29 K</v>
      </c>
    </row>
    <row r="59" spans="1:12">
      <c r="A59" s="19"/>
      <c r="B59" s="19"/>
      <c r="C59" s="19"/>
      <c r="D59" s="19"/>
      <c r="E59" s="19"/>
      <c r="F59" s="19"/>
      <c r="G59" s="19"/>
      <c r="H59" s="23"/>
      <c r="I59" s="23"/>
      <c r="J59" s="23"/>
      <c r="K59" s="23"/>
      <c r="L59" s="23"/>
    </row>
    <row r="60" spans="1:12">
      <c r="A60" s="24"/>
      <c r="I60" s="23"/>
      <c r="J60" s="23"/>
      <c r="K60" s="23"/>
    </row>
    <row r="61" spans="1:12" s="30" customFormat="1">
      <c r="A61" s="25" t="s">
        <v>53</v>
      </c>
      <c r="B61" s="9" t="s">
        <v>2</v>
      </c>
      <c r="C61" s="9" t="s">
        <v>3</v>
      </c>
      <c r="D61" s="9" t="s">
        <v>4</v>
      </c>
      <c r="E61" s="9" t="s">
        <v>5</v>
      </c>
      <c r="F61" s="9" t="s">
        <v>6</v>
      </c>
      <c r="G61" s="9" t="s">
        <v>7</v>
      </c>
      <c r="H61" s="29" t="s">
        <v>8</v>
      </c>
      <c r="I61" s="29" t="s">
        <v>9</v>
      </c>
      <c r="J61" s="29" t="s">
        <v>12</v>
      </c>
      <c r="K61" s="12" t="s">
        <v>13</v>
      </c>
      <c r="L61" s="13" t="s">
        <v>14</v>
      </c>
    </row>
    <row r="62" spans="1:12">
      <c r="A62" s="5" t="s">
        <v>54</v>
      </c>
      <c r="B62" s="5">
        <f t="shared" ref="B62:B66" si="22">C62+D62</f>
        <v>115512</v>
      </c>
      <c r="C62" s="26">
        <v>52217</v>
      </c>
      <c r="D62" s="26">
        <v>63295</v>
      </c>
      <c r="E62" s="26">
        <f t="shared" ref="E62:E66" si="23">F62+G62</f>
        <v>63739</v>
      </c>
      <c r="F62" s="26">
        <v>34161</v>
      </c>
      <c r="G62" s="26">
        <v>29578</v>
      </c>
      <c r="H62" s="27">
        <f t="shared" ref="H62:H66" si="24">I62+J62</f>
        <v>56504</v>
      </c>
      <c r="I62" s="26">
        <v>29437</v>
      </c>
      <c r="J62" s="26">
        <v>27067</v>
      </c>
      <c r="K62" s="15" t="str">
        <f>IF(B62&gt;=1000000, TEXT(B62/1000000,"0.0") &amp; " Mn", TEXT(B62/1000,"0") &amp; " K")</f>
        <v>116 K</v>
      </c>
      <c r="L62" s="6" t="str">
        <f>IF(E62&gt;=1000000, TEXT(E62/1000000,"0.0") &amp; " Mn", TEXT(E62/1000,"0") &amp; " K")</f>
        <v>64 K</v>
      </c>
    </row>
    <row r="63" spans="1:12">
      <c r="A63" s="5" t="s">
        <v>55</v>
      </c>
      <c r="B63" s="5">
        <f t="shared" si="22"/>
        <v>136613</v>
      </c>
      <c r="C63" s="26">
        <v>56621</v>
      </c>
      <c r="D63" s="26">
        <v>79992</v>
      </c>
      <c r="E63" s="26">
        <f t="shared" si="23"/>
        <v>73829</v>
      </c>
      <c r="F63" s="26">
        <v>37115</v>
      </c>
      <c r="G63" s="26">
        <v>36714</v>
      </c>
      <c r="H63" s="27">
        <f t="shared" si="24"/>
        <v>67381</v>
      </c>
      <c r="I63" s="26">
        <v>33419</v>
      </c>
      <c r="J63" s="26">
        <v>33962</v>
      </c>
      <c r="K63" s="15" t="str">
        <f t="shared" ref="K63:K66" si="25">IF(B63&gt;=1000000, TEXT(B63/1000000,"0.0") &amp; " Mn", TEXT(B63/1000,"0") &amp; " K")</f>
        <v>137 K</v>
      </c>
      <c r="L63" s="6" t="str">
        <f t="shared" ref="L63:L66" si="26">IF(E63&gt;=1000000, TEXT(E63/1000000,"0.0") &amp; " Mn", TEXT(E63/1000,"0") &amp; " K")</f>
        <v>74 K</v>
      </c>
    </row>
    <row r="64" spans="1:12">
      <c r="A64" s="5" t="s">
        <v>56</v>
      </c>
      <c r="B64" s="5">
        <f t="shared" si="22"/>
        <v>98994</v>
      </c>
      <c r="C64" s="26">
        <v>35234</v>
      </c>
      <c r="D64" s="26">
        <v>63760</v>
      </c>
      <c r="E64" s="26">
        <f t="shared" si="23"/>
        <v>56160</v>
      </c>
      <c r="F64" s="26">
        <v>23568</v>
      </c>
      <c r="G64" s="26">
        <v>32592</v>
      </c>
      <c r="H64" s="27">
        <f t="shared" si="24"/>
        <v>51070</v>
      </c>
      <c r="I64" s="26">
        <v>20893</v>
      </c>
      <c r="J64" s="26">
        <v>30177</v>
      </c>
      <c r="K64" s="15" t="str">
        <f t="shared" si="25"/>
        <v>99 K</v>
      </c>
      <c r="L64" s="6" t="str">
        <f t="shared" si="26"/>
        <v>56 K</v>
      </c>
    </row>
    <row r="65" spans="1:12">
      <c r="A65" s="5" t="s">
        <v>57</v>
      </c>
      <c r="B65" s="5">
        <f t="shared" si="22"/>
        <v>76444</v>
      </c>
      <c r="C65" s="26">
        <v>27743</v>
      </c>
      <c r="D65" s="26">
        <v>48701</v>
      </c>
      <c r="E65" s="26">
        <f t="shared" si="23"/>
        <v>46805</v>
      </c>
      <c r="F65" s="26">
        <v>19520</v>
      </c>
      <c r="G65" s="26">
        <v>27285</v>
      </c>
      <c r="H65" s="27">
        <f t="shared" si="24"/>
        <v>42538</v>
      </c>
      <c r="I65" s="26">
        <v>17236</v>
      </c>
      <c r="J65" s="26">
        <v>25302</v>
      </c>
      <c r="K65" s="15" t="str">
        <f t="shared" si="25"/>
        <v>76 K</v>
      </c>
      <c r="L65" s="6" t="str">
        <f t="shared" si="26"/>
        <v>47 K</v>
      </c>
    </row>
    <row r="66" spans="1:12">
      <c r="A66" s="5" t="s">
        <v>58</v>
      </c>
      <c r="B66" s="5">
        <f t="shared" si="22"/>
        <v>995395</v>
      </c>
      <c r="C66" s="26">
        <v>376285</v>
      </c>
      <c r="D66" s="26">
        <v>619110</v>
      </c>
      <c r="E66" s="26">
        <f t="shared" si="23"/>
        <v>605436</v>
      </c>
      <c r="F66" s="26">
        <v>253930</v>
      </c>
      <c r="G66" s="26">
        <v>351506</v>
      </c>
      <c r="H66" s="27">
        <f t="shared" si="24"/>
        <v>542908</v>
      </c>
      <c r="I66" s="26">
        <v>217325</v>
      </c>
      <c r="J66" s="26">
        <v>325583</v>
      </c>
      <c r="K66" s="15" t="str">
        <f t="shared" si="25"/>
        <v>995 K</v>
      </c>
      <c r="L66" s="6" t="str">
        <f t="shared" si="26"/>
        <v>605 K</v>
      </c>
    </row>
    <row r="68" spans="1:12">
      <c r="A68" s="25" t="s">
        <v>59</v>
      </c>
      <c r="B68" s="10" t="s">
        <v>2</v>
      </c>
      <c r="C68" s="10" t="s">
        <v>3</v>
      </c>
      <c r="D68" s="10" t="s">
        <v>4</v>
      </c>
      <c r="E68" s="10" t="s">
        <v>5</v>
      </c>
      <c r="F68" s="10" t="s">
        <v>6</v>
      </c>
      <c r="G68" s="10" t="s">
        <v>7</v>
      </c>
      <c r="H68" s="11" t="s">
        <v>8</v>
      </c>
      <c r="I68" s="11" t="s">
        <v>9</v>
      </c>
      <c r="J68" s="11" t="s">
        <v>12</v>
      </c>
      <c r="K68" s="12" t="s">
        <v>13</v>
      </c>
      <c r="L68" s="13" t="s">
        <v>14</v>
      </c>
    </row>
    <row r="69" spans="1:12">
      <c r="A69" s="5" t="s">
        <v>60</v>
      </c>
      <c r="B69" s="5">
        <f>0.5*(C69+D69)</f>
        <v>5828057</v>
      </c>
      <c r="C69" s="5">
        <v>5999673</v>
      </c>
      <c r="D69" s="5">
        <v>5656441</v>
      </c>
      <c r="E69" s="5">
        <f>0.5*(F69+G69)</f>
        <v>2889426.5</v>
      </c>
      <c r="F69" s="5">
        <v>4335484</v>
      </c>
      <c r="G69" s="5">
        <v>1443369</v>
      </c>
      <c r="H69" s="6">
        <f>I69+J69</f>
        <v>5060449</v>
      </c>
      <c r="I69" s="5">
        <v>3784415</v>
      </c>
      <c r="J69" s="5">
        <v>1276034</v>
      </c>
      <c r="K69" s="15" t="str">
        <f t="shared" ref="K69:K73" si="27">IF(B69&gt;=1000000, TEXT(B69/1000000,"0.0") &amp; " Mn", TEXT(B69/1000,"0") &amp; " K")</f>
        <v>5.8 Mn</v>
      </c>
      <c r="L69" s="6" t="str">
        <f>IF(E69&gt;=1000000, TEXT(E69/1000000,"0.0") &amp; " Mn", TEXT(E69/1000,"0") &amp; " K")</f>
        <v>2.9 Mn</v>
      </c>
    </row>
    <row r="70" spans="1:12">
      <c r="A70" s="5" t="s">
        <v>61</v>
      </c>
      <c r="B70" s="5">
        <f>C70+D70</f>
        <v>788227</v>
      </c>
      <c r="C70" s="5">
        <v>392234</v>
      </c>
      <c r="D70" s="5">
        <v>395993</v>
      </c>
      <c r="E70" s="5">
        <f t="shared" ref="E70:E71" si="28">F70+G70</f>
        <v>332824</v>
      </c>
      <c r="F70" s="5">
        <v>239953</v>
      </c>
      <c r="G70" s="5">
        <v>92871</v>
      </c>
      <c r="H70" s="6">
        <f>I70+J70</f>
        <v>291714</v>
      </c>
      <c r="I70" s="5">
        <v>207988</v>
      </c>
      <c r="J70" s="5">
        <v>83726</v>
      </c>
      <c r="K70" s="15" t="str">
        <f t="shared" si="27"/>
        <v>788 K</v>
      </c>
      <c r="L70" s="6" t="str">
        <f t="shared" ref="L70:L73" si="29">IF(E70&gt;=1000000, TEXT(E70/1000000,"0.0") &amp; " Mn", TEXT(E70/1000,"0") &amp; " K")</f>
        <v>333 K</v>
      </c>
    </row>
    <row r="71" spans="1:12">
      <c r="A71" s="5" t="s">
        <v>62</v>
      </c>
      <c r="B71" s="5">
        <f t="shared" ref="B71:B73" si="30">C71+D71</f>
        <v>1756231</v>
      </c>
      <c r="C71" s="5">
        <v>812202</v>
      </c>
      <c r="D71" s="5">
        <v>944029</v>
      </c>
      <c r="E71" s="5">
        <f t="shared" si="28"/>
        <v>822975</v>
      </c>
      <c r="F71" s="5">
        <v>522757</v>
      </c>
      <c r="G71" s="5">
        <v>300218</v>
      </c>
      <c r="H71" s="6">
        <f>I71+J71</f>
        <v>732546</v>
      </c>
      <c r="I71" s="5">
        <v>458480</v>
      </c>
      <c r="J71" s="5">
        <v>274066</v>
      </c>
      <c r="K71" s="15" t="str">
        <f t="shared" si="27"/>
        <v>1.8 Mn</v>
      </c>
      <c r="L71" s="6" t="str">
        <f t="shared" si="29"/>
        <v>823 K</v>
      </c>
    </row>
    <row r="72" spans="1:12">
      <c r="A72" s="5" t="s">
        <v>63</v>
      </c>
      <c r="B72" s="5">
        <f t="shared" si="30"/>
        <v>1737965</v>
      </c>
      <c r="C72" s="5">
        <v>780536</v>
      </c>
      <c r="D72" s="5">
        <v>957429</v>
      </c>
      <c r="E72" s="5">
        <f>F72+G72</f>
        <v>795308</v>
      </c>
      <c r="F72" s="5">
        <v>563074</v>
      </c>
      <c r="G72" s="5">
        <v>232234</v>
      </c>
      <c r="H72" s="6">
        <f>I72+J72</f>
        <v>708176</v>
      </c>
      <c r="I72" s="5">
        <v>502209</v>
      </c>
      <c r="J72" s="5">
        <v>205967</v>
      </c>
      <c r="K72" s="15" t="str">
        <f t="shared" si="27"/>
        <v>1.7 Mn</v>
      </c>
      <c r="L72" s="6" t="str">
        <f t="shared" si="29"/>
        <v>795 K</v>
      </c>
    </row>
    <row r="73" spans="1:12">
      <c r="A73" s="5" t="s">
        <v>64</v>
      </c>
      <c r="B73" s="5">
        <f t="shared" si="30"/>
        <v>3720351</v>
      </c>
      <c r="C73" s="5">
        <v>1943411</v>
      </c>
      <c r="D73" s="5">
        <v>1776940</v>
      </c>
      <c r="E73" s="5">
        <f>F73+G73</f>
        <v>1718476</v>
      </c>
      <c r="F73" s="5">
        <v>1294687</v>
      </c>
      <c r="G73" s="5">
        <v>423789</v>
      </c>
      <c r="H73" s="6">
        <f>I73+J73</f>
        <v>1510505</v>
      </c>
      <c r="I73" s="5">
        <v>1132206</v>
      </c>
      <c r="J73" s="5">
        <v>378299</v>
      </c>
      <c r="K73" s="15" t="str">
        <f t="shared" si="27"/>
        <v>3.7 Mn</v>
      </c>
      <c r="L73" s="6" t="str">
        <f t="shared" si="29"/>
        <v>1.7 Mn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2026-08-19T05:01:32Z</dcterms:created>
  <dcterms:modified xsi:type="dcterms:W3CDTF">2026-08-19T09:42:50Z</dcterms:modified>
  <cp:category/>
  <cp:contentStatus/>
</cp:coreProperties>
</file>